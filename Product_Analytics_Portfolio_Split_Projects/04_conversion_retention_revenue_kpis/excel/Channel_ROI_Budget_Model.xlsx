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_ROI_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b val="1"/>
      <color rgb="00FFFFFF"/>
    </font>
    <font>
      <color rgb="000000FF"/>
    </font>
  </fonts>
  <fills count="6">
    <fill>
      <patternFill/>
    </fill>
    <fill>
      <patternFill patternType="gray125"/>
    </fill>
    <fill>
      <patternFill patternType="solid">
        <fgColor rgb="00E7EEF8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165" fontId="0" fillId="5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2" fillId="0" borderId="1" pivotButton="0" quotePrefix="0" xfId="0"/>
    <xf numFmtId="164" fontId="0" fillId="0" borderId="1" pivotButton="0" quotePrefix="0" xfId="0"/>
    <xf numFmtId="165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12" customWidth="1" min="4" max="4"/>
    <col width="18" customWidth="1" min="5" max="5"/>
  </cols>
  <sheetData>
    <row r="1">
      <c r="A1" s="1" t="inlineStr">
        <is>
          <t>Channel ROI &amp; Budget Reallocation — Excel Model</t>
        </is>
      </c>
    </row>
    <row r="3">
      <c r="A3" s="2" t="inlineStr">
        <is>
          <t>Inputs (edit blue cells)</t>
        </is>
      </c>
    </row>
    <row r="4" ht="20" customHeight="1">
      <c r="A4" s="3" t="inlineStr">
        <is>
          <t>Channel</t>
        </is>
      </c>
      <c r="B4" s="3" t="inlineStr">
        <is>
          <t>Spend ($)</t>
        </is>
      </c>
      <c r="C4" s="3" t="inlineStr">
        <is>
          <t>Attributed Revenue ($)</t>
        </is>
      </c>
      <c r="D4" s="3" t="inlineStr">
        <is>
          <t>ROI</t>
        </is>
      </c>
      <c r="E4" s="3" t="inlineStr">
        <is>
          <t>Suggested Action</t>
        </is>
      </c>
    </row>
    <row r="5">
      <c r="A5" s="4" t="inlineStr">
        <is>
          <t>Email</t>
        </is>
      </c>
      <c r="B5" s="5" t="n">
        <v>20279.56</v>
      </c>
      <c r="C5" s="5" t="n">
        <v>50035.33</v>
      </c>
      <c r="D5" s="6">
        <f>IFERROR((C5-B5)/B5,0)</f>
        <v/>
      </c>
      <c r="E5" s="7">
        <f>IF(D5&gt;=1,"Scale",IF(D5&gt;=0.3,"Optimize","Reduce"))</f>
        <v/>
      </c>
    </row>
    <row r="6">
      <c r="A6" s="4" t="inlineStr">
        <is>
          <t>Organic Search</t>
        </is>
      </c>
      <c r="B6" s="5" t="n">
        <v>20713.89</v>
      </c>
      <c r="C6" s="5" t="n">
        <v>53245.89</v>
      </c>
      <c r="D6" s="6">
        <f>IFERROR((C6-B6)/B6,0)</f>
        <v/>
      </c>
      <c r="E6" s="7">
        <f>IF(D6&gt;=1,"Scale",IF(D6&gt;=0.3,"Optimize","Reduce"))</f>
        <v/>
      </c>
    </row>
    <row r="7">
      <c r="A7" s="4" t="inlineStr">
        <is>
          <t>Paid Ads</t>
        </is>
      </c>
      <c r="B7" s="5" t="n">
        <v>36578.04</v>
      </c>
      <c r="C7" s="5" t="n">
        <v>75337.49000000001</v>
      </c>
      <c r="D7" s="6">
        <f>IFERROR((C7-B7)/B7,0)</f>
        <v/>
      </c>
      <c r="E7" s="7">
        <f>IF(D7&gt;=1,"Scale",IF(D7&gt;=0.3,"Optimize","Reduce"))</f>
        <v/>
      </c>
    </row>
    <row r="8">
      <c r="A8" s="4" t="inlineStr">
        <is>
          <t>Referral</t>
        </is>
      </c>
      <c r="B8" s="5" t="n">
        <v>14131.07</v>
      </c>
      <c r="C8" s="5" t="n">
        <v>23654.04</v>
      </c>
      <c r="D8" s="6">
        <f>IFERROR((C8-B8)/B8,0)</f>
        <v/>
      </c>
      <c r="E8" s="7">
        <f>IF(D8&gt;=1,"Scale",IF(D8&gt;=0.3,"Optimize","Reduce"))</f>
        <v/>
      </c>
    </row>
    <row r="9">
      <c r="A9" s="4" t="inlineStr">
        <is>
          <t>Social Media</t>
        </is>
      </c>
      <c r="B9" s="5" t="n">
        <v>10493.42</v>
      </c>
      <c r="C9" s="5" t="n">
        <v>30823.31</v>
      </c>
      <c r="D9" s="6">
        <f>IFERROR((C9-B9)/B9,0)</f>
        <v/>
      </c>
      <c r="E9" s="7">
        <f>IF(D9&gt;=1,"Scale",IF(D9&gt;=0.3,"Optimize","Reduce"))</f>
        <v/>
      </c>
    </row>
    <row r="11">
      <c r="A11" s="8" t="inlineStr">
        <is>
          <t>Total</t>
        </is>
      </c>
      <c r="B11" s="9">
        <f>SUM(B5:B9)</f>
        <v/>
      </c>
      <c r="C11" s="9">
        <f>SUM(C5:C9)</f>
        <v/>
      </c>
      <c r="D11" s="10">
        <f>IFERROR((C11-B11)/B11,0)</f>
        <v/>
      </c>
    </row>
  </sheetData>
  <mergeCells count="1">
    <mergeCell ref="A3:E3"/>
  </mergeCells>
  <conditionalFormatting sqref="D5:D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2026-01-17T22:35:53Z</dcterms:created>
  <dcterms:modified xmlns:dcterms="http://purl.org/dc/terms/" xmlns:xsi="http://www.w3.org/2001/XMLSchema-instance" xsi:type="dcterms:W3CDTF">2026-01-17T22:35:53Z</dcterms:modified>
</cp:coreProperties>
</file>