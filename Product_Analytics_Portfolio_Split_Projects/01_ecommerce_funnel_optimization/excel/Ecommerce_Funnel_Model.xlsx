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amiechristian/Downloads/Product_Analytics_Portfolio_Split_Projects_with_Excel/01_ecommerce_funnel_optimization/excel/"/>
    </mc:Choice>
  </mc:AlternateContent>
  <xr:revisionPtr revIDLastSave="0" documentId="13_ncr:1_{D1DB73F3-D7D9-7F46-A3BA-A37B3CBD2603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Funnel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C15" i="1"/>
  <c r="B15" i="1"/>
  <c r="E14" i="1"/>
  <c r="D14" i="1"/>
  <c r="C14" i="1"/>
  <c r="B14" i="1"/>
  <c r="E13" i="1"/>
  <c r="D13" i="1"/>
  <c r="C13" i="1"/>
  <c r="B13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<sst xmlns="http://schemas.openxmlformats.org/spreadsheetml/2006/main" count="36" uniqueCount="35">
  <si>
    <t>Ecommerce Funnel Optimization — Excel Model</t>
  </si>
  <si>
    <t>Inputs (edit blue cells)</t>
  </si>
  <si>
    <t>KPI Scorecard</t>
  </si>
  <si>
    <t>Metric</t>
  </si>
  <si>
    <t>Value</t>
  </si>
  <si>
    <t>KPI</t>
  </si>
  <si>
    <t>Logic</t>
  </si>
  <si>
    <t>Viewed</t>
  </si>
  <si>
    <t>View → Cart %</t>
  </si>
  <si>
    <t>Added to Cart / Viewed</t>
  </si>
  <si>
    <t>Added to Cart</t>
  </si>
  <si>
    <t>Cart → Checkout %</t>
  </si>
  <si>
    <t>Checkout / Added to Cart</t>
  </si>
  <si>
    <t>Checkout Started</t>
  </si>
  <si>
    <t>Checkout → Purchase %</t>
  </si>
  <si>
    <t>Purchased / Checkout</t>
  </si>
  <si>
    <t>Purchased</t>
  </si>
  <si>
    <t>View → Purchase %</t>
  </si>
  <si>
    <t>Purchased / Viewed</t>
  </si>
  <si>
    <t>Avg Order Value (AOV)</t>
  </si>
  <si>
    <t>Est. Revenue</t>
  </si>
  <si>
    <t>Purchased * AOV</t>
  </si>
  <si>
    <t>Drop-off Volume by Stage</t>
  </si>
  <si>
    <t>Stage</t>
  </si>
  <si>
    <t>In</t>
  </si>
  <si>
    <t>Out</t>
  </si>
  <si>
    <t>Drop-off</t>
  </si>
  <si>
    <t>Drop-off %</t>
  </si>
  <si>
    <t>Notes</t>
  </si>
  <si>
    <t>Viewed → Add to Cart</t>
  </si>
  <si>
    <t>PDP/offer clarity, pricing, trust signals.</t>
  </si>
  <si>
    <t>Add to Cart → Checkout</t>
  </si>
  <si>
    <t>Cart friction: shipping surprise, coupon UX.</t>
  </si>
  <si>
    <t>Checkout → Purchase</t>
  </si>
  <si>
    <t>Payment errors, checkout length, mobile UX.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</si>
</sst>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EF8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165" fontId="0" fillId="5" borderId="1" xfId="0" applyNumberForma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top" wrapText="1"/>
    </xf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tabSelected="1" workbookViewId="0">
      <selection activeCell="A2" sqref="A2"/>
    </sheetView>
  </sheetViews>
  <sheetFormatPr baseColWidth="10" defaultColWidth="8.83203125" defaultRowHeight="15" x14ac:dyDescent="0.2"/>
  <cols>
    <col min="1" max="1" width="55.33203125" customWidth="1"/>
    <col min="2" max="2" width="16" customWidth="1"/>
    <col min="3" max="3" width="2" customWidth="1"/>
    <col min="4" max="4" width="24" customWidth="1"/>
    <col min="5" max="5" width="30" customWidth="1"/>
    <col min="6" max="6" width="50" customWidth="1"/>
  </cols>
  <sheetData>
    <row r="1" spans="1:6" ht="21" x14ac:dyDescent="0.25">
      <c r="A1" s="1" t="s">
        <v>0</v>
      </c>
    </row>
    <row r="3" spans="1:6" x14ac:dyDescent="0.2">
      <c r="A3" s="11" t="s">
        <v>1</v>
      </c>
      <c r="B3" s="12"/>
      <c r="D3" s="11" t="s">
        <v>2</v>
      </c>
      <c r="E3" s="12"/>
      <c r="F3" s="12"/>
    </row>
    <row r="4" spans="1:6" ht="20" customHeight="1" x14ac:dyDescent="0.2">
      <c r="A4" s="2" t="s">
        <v>3</v>
      </c>
      <c r="B4" s="2" t="s">
        <v>4</v>
      </c>
      <c r="D4" s="2" t="s">
        <v>5</v>
      </c>
      <c r="E4" s="2" t="s">
        <v>6</v>
      </c>
      <c r="F4" s="2" t="s">
        <v>4</v>
      </c>
    </row>
    <row r="5" spans="1:6" x14ac:dyDescent="0.2">
      <c r="A5" s="3" t="s">
        <v>7</v>
      </c>
      <c r="B5" s="4">
        <v>3167</v>
      </c>
      <c r="D5" s="3" t="s">
        <v>8</v>
      </c>
      <c r="E5" s="3" t="s">
        <v>9</v>
      </c>
      <c r="F5" s="5">
        <f>IFERROR($B$6/$B$5,0)</f>
        <v>0.52036627723397533</v>
      </c>
    </row>
    <row r="6" spans="1:6" x14ac:dyDescent="0.2">
      <c r="A6" s="3" t="s">
        <v>10</v>
      </c>
      <c r="B6" s="4">
        <v>1648</v>
      </c>
      <c r="D6" s="3" t="s">
        <v>11</v>
      </c>
      <c r="E6" s="3" t="s">
        <v>12</v>
      </c>
      <c r="F6" s="5">
        <f>IFERROR($B$7/$B$6,0)</f>
        <v>0.52609223300970875</v>
      </c>
    </row>
    <row r="7" spans="1:6" x14ac:dyDescent="0.2">
      <c r="A7" s="3" t="s">
        <v>13</v>
      </c>
      <c r="B7" s="4">
        <v>867</v>
      </c>
      <c r="D7" s="3" t="s">
        <v>14</v>
      </c>
      <c r="E7" s="3" t="s">
        <v>15</v>
      </c>
      <c r="F7" s="5">
        <f>IFERROR($B$8/$B$7,0)</f>
        <v>0.53748558246828138</v>
      </c>
    </row>
    <row r="8" spans="1:6" x14ac:dyDescent="0.2">
      <c r="A8" s="3" t="s">
        <v>16</v>
      </c>
      <c r="B8" s="4">
        <v>466</v>
      </c>
      <c r="D8" s="3" t="s">
        <v>17</v>
      </c>
      <c r="E8" s="3" t="s">
        <v>18</v>
      </c>
      <c r="F8" s="5">
        <f>IFERROR($B$8/$B$5,0)</f>
        <v>0.14714240606251974</v>
      </c>
    </row>
    <row r="9" spans="1:6" x14ac:dyDescent="0.2">
      <c r="A9" s="3" t="s">
        <v>19</v>
      </c>
      <c r="B9" s="6">
        <v>65</v>
      </c>
      <c r="D9" s="3" t="s">
        <v>20</v>
      </c>
      <c r="E9" s="3" t="s">
        <v>21</v>
      </c>
      <c r="F9" s="7">
        <f>$B$8*$B$9</f>
        <v>30290</v>
      </c>
    </row>
    <row r="11" spans="1:6" x14ac:dyDescent="0.2">
      <c r="A11" s="11" t="s">
        <v>22</v>
      </c>
      <c r="B11" s="12"/>
      <c r="C11" s="12"/>
      <c r="D11" s="12"/>
      <c r="E11" s="12"/>
      <c r="F11" s="12"/>
    </row>
    <row r="12" spans="1:6" ht="20" customHeight="1" x14ac:dyDescent="0.2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</row>
    <row r="13" spans="1:6" ht="16" x14ac:dyDescent="0.2">
      <c r="A13" s="3" t="s">
        <v>29</v>
      </c>
      <c r="B13" s="8">
        <f>$B$5</f>
        <v>3167</v>
      </c>
      <c r="C13" s="8">
        <f>$B$6</f>
        <v>1648</v>
      </c>
      <c r="D13" s="8">
        <f>$B$5-$B$6</f>
        <v>1519</v>
      </c>
      <c r="E13" s="9">
        <f>IFERROR(($B$5-$B$6)/$B$5,0)</f>
        <v>0.47963372276602462</v>
      </c>
      <c r="F13" s="10" t="s">
        <v>30</v>
      </c>
    </row>
    <row r="14" spans="1:6" ht="16" x14ac:dyDescent="0.2">
      <c r="A14" s="3" t="s">
        <v>31</v>
      </c>
      <c r="B14" s="8">
        <f>$B$6</f>
        <v>1648</v>
      </c>
      <c r="C14" s="8">
        <f>$B$7</f>
        <v>867</v>
      </c>
      <c r="D14" s="8">
        <f>$B$6-$B$7</f>
        <v>781</v>
      </c>
      <c r="E14" s="9">
        <f>IFERROR(($B$6-$B$7)/$B$6,0)</f>
        <v>0.47390776699029125</v>
      </c>
      <c r="F14" s="10" t="s">
        <v>32</v>
      </c>
    </row>
    <row r="15" spans="1:6" ht="16" x14ac:dyDescent="0.2">
      <c r="A15" s="3" t="s">
        <v>33</v>
      </c>
      <c r="B15" s="8">
        <f>$B$7</f>
        <v>867</v>
      </c>
      <c r="C15" s="8">
        <f>$B$8</f>
        <v>466</v>
      </c>
      <c r="D15" s="8">
        <f>$B$7-$B$8</f>
        <v>401</v>
      </c>
      <c r="E15" s="9">
        <f>IFERROR(($B$7-$B$8)/$B$7,0)</f>
        <v>0.46251441753171857</v>
      </c>
      <c r="F15" s="10" t="s">
        <v>34</v>
      </c>
    </row>
  </sheetData>
  <mergeCells count="3">
    <mergeCell ref="A11:F11"/>
    <mergeCell ref="A3:B3"/>
    <mergeCell ref="D3:F3"/>
  </mergeCells>
  <conditionalFormatting sqref="E13:E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2026-01-17T22:35:52Z</dcterms:created>
  <dcterms:modified xsi:type="dcterms:W3CDTF">2026-01-17T22:39:23Z</dcterms:modified>
</cp:coreProperties>
</file>